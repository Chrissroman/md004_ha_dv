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eknaflic/Desktop/"/>
    </mc:Choice>
  </mc:AlternateContent>
  <xr:revisionPtr revIDLastSave="6" documentId="8_{6480DCC9-F96E-624D-A648-E865B88C26EB}" xr6:coauthVersionLast="47" xr6:coauthVersionMax="47" xr10:uidLastSave="{E9C88F37-A403-40DD-B7A1-486B8BEF439E}"/>
  <bookViews>
    <workbookView xWindow="640" yWindow="460" windowWidth="24740" windowHeight="13940" xr2:uid="{3B1E7F64-D83B-CA4A-99DC-8903637F8D7D}"/>
  </bookViews>
  <sheets>
    <sheet name="dataset_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12" i="1"/>
  <c r="P11" i="1"/>
  <c r="P10" i="1"/>
  <c r="P9" i="1"/>
  <c r="P8" i="1"/>
  <c r="P7" i="1"/>
  <c r="P6" i="1"/>
  <c r="P5" i="1"/>
  <c r="P4" i="1"/>
  <c r="P3" i="1"/>
</calcChain>
</file>

<file path=xl/sharedStrings.xml><?xml version="1.0" encoding="utf-8"?>
<sst xmlns="http://schemas.openxmlformats.org/spreadsheetml/2006/main" count="26" uniqueCount="26">
  <si>
    <t>BEACON</t>
  </si>
  <si>
    <t>DRAPER</t>
  </si>
  <si>
    <t>FILMORE</t>
  </si>
  <si>
    <t>LAKESIDE</t>
  </si>
  <si>
    <t>MARE VALLEY</t>
  </si>
  <si>
    <t>NORTH</t>
  </si>
  <si>
    <t>OAKLEY</t>
  </si>
  <si>
    <t>ORLY</t>
  </si>
  <si>
    <t>PIERCE</t>
  </si>
  <si>
    <t>ROSEDALE</t>
  </si>
  <si>
    <t>SEALY</t>
  </si>
  <si>
    <t>SOUTHLAKE</t>
  </si>
  <si>
    <t>WESTLAKE</t>
  </si>
  <si>
    <t>WILDLAND</t>
  </si>
  <si>
    <t>REGIONAL AVG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</si>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</sst>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Breast Cancer Screening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'[1]Pre Transfusion HGB Averages'!$C$32</c:f>
              <c:strCache>
                <c:ptCount val="1"/>
                <c:pt idx="0">
                  <c:v>DOWNEY 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Averages'!$C$33:$C$34</c:f>
              <c:numCache>
                <c:formatCode>General</c:formatCode>
                <c:ptCount val="2"/>
                <c:pt idx="0">
                  <c:v>7.6</c:v>
                </c:pt>
                <c:pt idx="1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72-D844-8752-774849A060DB}"/>
            </c:ext>
          </c:extLst>
        </c:ser>
        <c:ser>
          <c:idx val="1"/>
          <c:order val="1"/>
          <c:tx>
            <c:strRef>
              <c:f>'[1]Pre Transfusion HGB Averages'!$D$32</c:f>
              <c:strCache>
                <c:ptCount val="1"/>
                <c:pt idx="0">
                  <c:v>FONTANA 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Averages'!$D$33:$D$34</c:f>
              <c:numCache>
                <c:formatCode>General</c:formatCode>
                <c:ptCount val="2"/>
                <c:pt idx="0">
                  <c:v>7.3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72-D844-8752-774849A060DB}"/>
            </c:ext>
          </c:extLst>
        </c:ser>
        <c:ser>
          <c:idx val="2"/>
          <c:order val="2"/>
          <c:tx>
            <c:strRef>
              <c:f>'[1]Pre Transfusion HGB Averages'!$E$32</c:f>
              <c:strCache>
                <c:ptCount val="1"/>
                <c:pt idx="0">
                  <c:v>LOS ANGELES 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Averages'!$E$33:$E$34</c:f>
              <c:numCache>
                <c:formatCode>General</c:formatCode>
                <c:ptCount val="2"/>
                <c:pt idx="0">
                  <c:v>7.3</c:v>
                </c:pt>
                <c:pt idx="1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72-D844-8752-774849A060DB}"/>
            </c:ext>
          </c:extLst>
        </c:ser>
        <c:ser>
          <c:idx val="3"/>
          <c:order val="3"/>
          <c:tx>
            <c:strRef>
              <c:f>'[1]Pre Transfusion HGB Averages'!$F$32</c:f>
              <c:strCache>
                <c:ptCount val="1"/>
                <c:pt idx="0">
                  <c:v>MORENO VALLEY 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Averages'!$F$33:$F$34</c:f>
              <c:numCache>
                <c:formatCode>General</c:formatCode>
                <c:ptCount val="2"/>
                <c:pt idx="0">
                  <c:v>7.5</c:v>
                </c:pt>
                <c:pt idx="1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72-D844-8752-774849A060DB}"/>
            </c:ext>
          </c:extLst>
        </c:ser>
        <c:ser>
          <c:idx val="4"/>
          <c:order val="4"/>
          <c:tx>
            <c:strRef>
              <c:f>'[1]Pre Transfusion HGB Averages'!$G$32</c:f>
              <c:strCache>
                <c:ptCount val="1"/>
                <c:pt idx="0">
                  <c:v>OC ANAHEIM 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Averages'!$G$33:$G$34</c:f>
              <c:numCache>
                <c:formatCode>General</c:formatCode>
                <c:ptCount val="2"/>
                <c:pt idx="0">
                  <c:v>7.7</c:v>
                </c:pt>
                <c:pt idx="1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72-D844-8752-774849A060DB}"/>
            </c:ext>
          </c:extLst>
        </c:ser>
        <c:ser>
          <c:idx val="5"/>
          <c:order val="5"/>
          <c:tx>
            <c:strRef>
              <c:f>'[1]Pre Transfusion HGB Averages'!$H$32</c:f>
              <c:strCache>
                <c:ptCount val="1"/>
                <c:pt idx="0">
                  <c:v>OC IRVINE 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Averages'!$H$33:$H$34</c:f>
              <c:numCache>
                <c:formatCode>General</c:formatCode>
                <c:ptCount val="2"/>
                <c:pt idx="0">
                  <c:v>8</c:v>
                </c:pt>
                <c:pt idx="1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72-D844-8752-774849A060DB}"/>
            </c:ext>
          </c:extLst>
        </c:ser>
        <c:ser>
          <c:idx val="6"/>
          <c:order val="6"/>
          <c:tx>
            <c:strRef>
              <c:f>'[1]Pre Transfusion HGB Averages'!$I$32</c:f>
              <c:strCache>
                <c:ptCount val="1"/>
                <c:pt idx="0">
                  <c:v>ONTARIO 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Averages'!$I$33:$I$34</c:f>
              <c:numCache>
                <c:formatCode>General</c:formatCode>
                <c:ptCount val="2"/>
                <c:pt idx="0">
                  <c:v>7.7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72-D844-8752-774849A060DB}"/>
            </c:ext>
          </c:extLst>
        </c:ser>
        <c:ser>
          <c:idx val="7"/>
          <c:order val="7"/>
          <c:tx>
            <c:strRef>
              <c:f>'[1]Pre Transfusion HGB Averages'!$J$32</c:f>
              <c:strCache>
                <c:ptCount val="1"/>
                <c:pt idx="0">
                  <c:v>PANORAMA 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Averages'!$J$33:$J$34</c:f>
              <c:numCache>
                <c:formatCode>General</c:formatCode>
                <c:ptCount val="2"/>
                <c:pt idx="0">
                  <c:v>7.3</c:v>
                </c:pt>
                <c:pt idx="1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72-D844-8752-774849A060DB}"/>
            </c:ext>
          </c:extLst>
        </c:ser>
        <c:ser>
          <c:idx val="8"/>
          <c:order val="8"/>
          <c:tx>
            <c:strRef>
              <c:f>'[1]Pre Transfusion HGB Averages'!$K$32</c:f>
              <c:strCache>
                <c:ptCount val="1"/>
                <c:pt idx="0">
                  <c:v>RIVERSIDE 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Averages'!$K$33:$K$34</c:f>
              <c:numCache>
                <c:formatCode>General</c:formatCode>
                <c:ptCount val="2"/>
                <c:pt idx="0">
                  <c:v>7.5</c:v>
                </c:pt>
                <c:pt idx="1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72-D844-8752-774849A060DB}"/>
            </c:ext>
          </c:extLst>
        </c:ser>
        <c:ser>
          <c:idx val="9"/>
          <c:order val="9"/>
          <c:tx>
            <c:strRef>
              <c:f>'[1]Pre Transfusion HGB Averages'!$L$32</c:f>
              <c:strCache>
                <c:ptCount val="1"/>
                <c:pt idx="0">
                  <c:v>SAN DIEGO 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69FFFF"/>
              </a:solidFill>
              <a:ln>
                <a:solidFill>
                  <a:srgbClr val="69FFFF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Averages'!$M$33:$M$34</c:f>
              <c:numCache>
                <c:formatCode>General</c:formatCode>
                <c:ptCount val="2"/>
                <c:pt idx="0">
                  <c:v>7.4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072-D844-8752-774849A060DB}"/>
            </c:ext>
          </c:extLst>
        </c:ser>
        <c:ser>
          <c:idx val="10"/>
          <c:order val="10"/>
          <c:tx>
            <c:strRef>
              <c:f>'[1]Pre Transfusion HGB Averages'!$N$32</c:f>
              <c:strCache>
                <c:ptCount val="1"/>
                <c:pt idx="0">
                  <c:v>SOUTH BAY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CCFFCC"/>
              </a:solidFill>
              <a:ln>
                <a:solidFill>
                  <a:srgbClr val="CCFFCC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Averages'!$N$33:$N$34</c:f>
              <c:numCache>
                <c:formatCode>General</c:formatCode>
                <c:ptCount val="2"/>
                <c:pt idx="0">
                  <c:v>7.4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72-D844-8752-774849A060DB}"/>
            </c:ext>
          </c:extLst>
        </c:ser>
        <c:ser>
          <c:idx val="11"/>
          <c:order val="11"/>
          <c:tx>
            <c:strRef>
              <c:f>'[1]Pre Transfusion HGB Averages'!$O$32</c:f>
              <c:strCache>
                <c:ptCount val="1"/>
                <c:pt idx="0">
                  <c:v>WEST LA 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99"/>
              </a:solidFill>
              <a:ln>
                <a:solidFill>
                  <a:srgbClr val="FFFF99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Averages'!$O$33:$O$34</c:f>
              <c:numCache>
                <c:formatCode>General</c:formatCode>
                <c:ptCount val="2"/>
                <c:pt idx="0">
                  <c:v>7.4</c:v>
                </c:pt>
                <c:pt idx="1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072-D844-8752-774849A060DB}"/>
            </c:ext>
          </c:extLst>
        </c:ser>
        <c:ser>
          <c:idx val="12"/>
          <c:order val="12"/>
          <c:tx>
            <c:strRef>
              <c:f>'[1]Pre Transfusion HGB Averages'!$P$32</c:f>
              <c:strCache>
                <c:ptCount val="1"/>
                <c:pt idx="0">
                  <c:v>WOODLAND HILLS 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A6CAF0"/>
                </a:solidFill>
                <a:prstDash val="solid"/>
              </a:ln>
            </c:spPr>
          </c:marker>
          <c:cat>
            <c:strRef>
              <c:f>'[1]Pre Transfusion HGB Averages'!$A$33:$A$34</c:f>
              <c:strCache>
                <c:ptCount val="2"/>
                <c:pt idx="0">
                  <c:v>2015 Q1</c:v>
                </c:pt>
                <c:pt idx="1">
                  <c:v>2015 Q2</c:v>
                </c:pt>
              </c:strCache>
            </c:strRef>
          </c:cat>
          <c:val>
            <c:numRef>
              <c:f>'[1]Pre Transfusion HGB Averages'!$P$33:$P$34</c:f>
              <c:numCache>
                <c:formatCode>General</c:formatCode>
                <c:ptCount val="2"/>
                <c:pt idx="0">
                  <c:v>7.6</c:v>
                </c:pt>
                <c:pt idx="1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072-D844-8752-774849A06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172072"/>
        <c:axId val="2102180392"/>
      </c:lineChart>
      <c:catAx>
        <c:axId val="2102172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End of Rolling Time Period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021803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02180392"/>
        <c:scaling>
          <c:orientation val="minMax"/>
          <c:max val="90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Percent Eligible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02172072"/>
        <c:crosses val="autoZero"/>
        <c:crossBetween val="between"/>
      </c:valAx>
      <c:spPr>
        <a:solidFill>
          <a:srgbClr val="E3E3E3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0</xdr:rowOff>
    </xdr:from>
    <xdr:to>
      <xdr:col>15</xdr:col>
      <xdr:colOff>0</xdr:colOff>
      <xdr:row>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D4CD50-794F-684C-835F-46E916BEC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liza/Downloads/Medicine_Regional_BLUAT_Quarterly_Trends_Report_2017_Q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 Transfusion HGB Averages"/>
      <sheetName val="Post Transfusion HGB Averages"/>
      <sheetName val="Total Transfusion Volumes"/>
      <sheetName val="RBC Transfusion Volumes"/>
      <sheetName val="FFP Transfusion Volumes"/>
      <sheetName val="Platelet Transfusion Volumes"/>
      <sheetName val="RBC Patient Days"/>
      <sheetName val="FFP Patient Days"/>
      <sheetName val="Platelet Patient Days"/>
      <sheetName val="Total Transfusion Patient Days"/>
      <sheetName val="Specifications"/>
      <sheetName val="Sheet1"/>
      <sheetName val="Sheet2"/>
      <sheetName val="Sheet3"/>
    </sheetNames>
    <sheetDataSet>
      <sheetData sheetId="0">
        <row r="32">
          <cell r="C32" t="str">
            <v xml:space="preserve">DOWNEY </v>
          </cell>
          <cell r="D32" t="str">
            <v xml:space="preserve">FONTANA </v>
          </cell>
          <cell r="E32" t="str">
            <v xml:space="preserve">LOS ANGELES </v>
          </cell>
          <cell r="F32" t="str">
            <v xml:space="preserve">MORENO VALLEY </v>
          </cell>
          <cell r="G32" t="str">
            <v xml:space="preserve">OC ANAHEIM </v>
          </cell>
          <cell r="H32" t="str">
            <v xml:space="preserve">OC IRVINE </v>
          </cell>
          <cell r="I32" t="str">
            <v xml:space="preserve">ONTARIO </v>
          </cell>
          <cell r="J32" t="str">
            <v xml:space="preserve">PANORAMA </v>
          </cell>
          <cell r="K32" t="str">
            <v xml:space="preserve">RIVERSIDE </v>
          </cell>
          <cell r="L32" t="str">
            <v xml:space="preserve">SAN DIEGO </v>
          </cell>
          <cell r="N32" t="str">
            <v>SOUTH BAY</v>
          </cell>
          <cell r="O32" t="str">
            <v xml:space="preserve">WEST LA </v>
          </cell>
          <cell r="P32" t="str">
            <v xml:space="preserve">WOODLAND HILLS </v>
          </cell>
        </row>
        <row r="33">
          <cell r="A33" t="str">
            <v>2015 Q1</v>
          </cell>
          <cell r="C33">
            <v>7.6</v>
          </cell>
          <cell r="D33">
            <v>7.3</v>
          </cell>
          <cell r="E33">
            <v>7.3</v>
          </cell>
          <cell r="F33">
            <v>7.5</v>
          </cell>
          <cell r="G33">
            <v>7.7</v>
          </cell>
          <cell r="H33">
            <v>8</v>
          </cell>
          <cell r="I33">
            <v>7.7</v>
          </cell>
          <cell r="J33">
            <v>7.3</v>
          </cell>
          <cell r="K33">
            <v>7.5</v>
          </cell>
          <cell r="M33">
            <v>7.4</v>
          </cell>
          <cell r="N33">
            <v>7.4</v>
          </cell>
          <cell r="O33">
            <v>7.4</v>
          </cell>
          <cell r="P33">
            <v>7.6</v>
          </cell>
        </row>
        <row r="34">
          <cell r="A34" t="str">
            <v>2015 Q2</v>
          </cell>
          <cell r="C34">
            <v>7.6</v>
          </cell>
          <cell r="D34">
            <v>7.4</v>
          </cell>
          <cell r="E34">
            <v>7.3</v>
          </cell>
          <cell r="F34">
            <v>7.2</v>
          </cell>
          <cell r="G34">
            <v>7.6</v>
          </cell>
          <cell r="H34">
            <v>7.7</v>
          </cell>
          <cell r="I34">
            <v>7.4</v>
          </cell>
          <cell r="J34">
            <v>7.3</v>
          </cell>
          <cell r="K34">
            <v>7.5</v>
          </cell>
          <cell r="M34">
            <v>7.4</v>
          </cell>
          <cell r="N34">
            <v>7.4</v>
          </cell>
          <cell r="O34">
            <v>7.4</v>
          </cell>
          <cell r="P34">
            <v>7.6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3AB8-A7D4-0C49-B5B9-0E87EF245255}">
  <sheetPr>
    <tabColor theme="1"/>
  </sheetPr>
  <dimension ref="A1:P17"/>
  <sheetViews>
    <sheetView tabSelected="1" workbookViewId="0">
      <pane ySplit="1" topLeftCell="A2" activePane="bottomLeft" state="frozen"/>
      <selection pane="bottomLeft" activeCell="M26" sqref="M26"/>
    </sheetView>
  </sheetViews>
  <sheetFormatPr defaultColWidth="10.6640625" defaultRowHeight="15" customHeight="1"/>
  <sheetData>
    <row r="1" spans="1:1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</row>
    <row r="2" spans="1:16">
      <c r="A2" s="3" t="s">
        <v>15</v>
      </c>
      <c r="B2" s="4">
        <v>69</v>
      </c>
      <c r="C2" s="4">
        <v>130</v>
      </c>
      <c r="D2" s="4">
        <v>85</v>
      </c>
      <c r="E2" s="4">
        <v>117</v>
      </c>
      <c r="F2" s="4">
        <v>16</v>
      </c>
      <c r="G2" s="4">
        <v>74</v>
      </c>
      <c r="H2" s="4">
        <v>61</v>
      </c>
      <c r="I2" s="4">
        <v>51</v>
      </c>
      <c r="J2" s="4">
        <v>35</v>
      </c>
      <c r="K2" s="4">
        <v>65</v>
      </c>
      <c r="L2" s="4">
        <v>93</v>
      </c>
      <c r="M2" s="4">
        <v>72</v>
      </c>
      <c r="N2" s="4">
        <v>83</v>
      </c>
      <c r="O2" s="4">
        <v>83</v>
      </c>
      <c r="P2" s="7">
        <f t="shared" ref="P2:P12" si="0">AVERAGE(B2:O2)</f>
        <v>73.857142857142861</v>
      </c>
    </row>
    <row r="3" spans="1:16">
      <c r="A3" s="3" t="s">
        <v>16</v>
      </c>
      <c r="B3" s="4">
        <v>77</v>
      </c>
      <c r="C3" s="4">
        <v>86</v>
      </c>
      <c r="D3" s="4">
        <v>97</v>
      </c>
      <c r="E3" s="4">
        <v>107</v>
      </c>
      <c r="F3" s="4">
        <v>17</v>
      </c>
      <c r="G3" s="4">
        <v>71</v>
      </c>
      <c r="H3" s="4">
        <v>55</v>
      </c>
      <c r="I3" s="4">
        <v>61</v>
      </c>
      <c r="J3" s="4">
        <v>32</v>
      </c>
      <c r="K3" s="4">
        <v>55</v>
      </c>
      <c r="L3" s="4">
        <v>89</v>
      </c>
      <c r="M3" s="4">
        <v>64</v>
      </c>
      <c r="N3" s="4">
        <v>73</v>
      </c>
      <c r="O3" s="4">
        <v>79</v>
      </c>
      <c r="P3" s="8">
        <f t="shared" si="0"/>
        <v>68.785714285714292</v>
      </c>
    </row>
    <row r="4" spans="1:16">
      <c r="A4" s="3" t="s">
        <v>17</v>
      </c>
      <c r="B4" s="4">
        <v>63</v>
      </c>
      <c r="C4" s="4">
        <v>90</v>
      </c>
      <c r="D4" s="4">
        <v>92</v>
      </c>
      <c r="E4" s="4">
        <v>127</v>
      </c>
      <c r="F4" s="4">
        <v>18</v>
      </c>
      <c r="G4" s="4">
        <v>68</v>
      </c>
      <c r="H4" s="4">
        <v>55</v>
      </c>
      <c r="I4" s="4">
        <v>67</v>
      </c>
      <c r="J4" s="4">
        <v>32</v>
      </c>
      <c r="K4" s="4">
        <v>59</v>
      </c>
      <c r="L4" s="4">
        <v>79</v>
      </c>
      <c r="M4" s="4">
        <v>58</v>
      </c>
      <c r="N4" s="4">
        <v>73</v>
      </c>
      <c r="O4" s="4">
        <v>81</v>
      </c>
      <c r="P4" s="8">
        <f t="shared" si="0"/>
        <v>68.714285714285708</v>
      </c>
    </row>
    <row r="5" spans="1:16">
      <c r="A5" s="3" t="s">
        <v>18</v>
      </c>
      <c r="B5" s="4">
        <v>61</v>
      </c>
      <c r="C5" s="4">
        <v>100</v>
      </c>
      <c r="D5" s="4">
        <v>95</v>
      </c>
      <c r="E5" s="4">
        <v>132</v>
      </c>
      <c r="F5" s="4">
        <v>21</v>
      </c>
      <c r="G5" s="4">
        <v>72</v>
      </c>
      <c r="H5" s="4">
        <v>72</v>
      </c>
      <c r="I5" s="4">
        <v>51</v>
      </c>
      <c r="J5" s="4">
        <v>49</v>
      </c>
      <c r="K5" s="4">
        <v>53</v>
      </c>
      <c r="L5" s="4">
        <v>82</v>
      </c>
      <c r="M5" s="4">
        <v>77</v>
      </c>
      <c r="N5" s="4">
        <v>85</v>
      </c>
      <c r="O5" s="4">
        <v>75</v>
      </c>
      <c r="P5" s="8">
        <f t="shared" si="0"/>
        <v>73.214285714285708</v>
      </c>
    </row>
    <row r="6" spans="1:16">
      <c r="A6" s="3" t="s">
        <v>19</v>
      </c>
      <c r="B6" s="4">
        <v>67</v>
      </c>
      <c r="C6" s="4">
        <v>106</v>
      </c>
      <c r="D6" s="4">
        <v>92</v>
      </c>
      <c r="E6" s="4">
        <v>145</v>
      </c>
      <c r="F6" s="4">
        <v>21</v>
      </c>
      <c r="G6" s="4">
        <v>69</v>
      </c>
      <c r="H6" s="4">
        <v>79</v>
      </c>
      <c r="I6" s="4">
        <v>51</v>
      </c>
      <c r="J6" s="4">
        <v>49</v>
      </c>
      <c r="K6" s="4">
        <v>59</v>
      </c>
      <c r="L6" s="4">
        <v>94</v>
      </c>
      <c r="M6" s="4">
        <v>87</v>
      </c>
      <c r="N6" s="4">
        <v>87</v>
      </c>
      <c r="O6" s="4">
        <v>79</v>
      </c>
      <c r="P6" s="8">
        <f t="shared" si="0"/>
        <v>77.5</v>
      </c>
    </row>
    <row r="7" spans="1:16">
      <c r="A7" s="3" t="s">
        <v>20</v>
      </c>
      <c r="B7" s="4">
        <v>67</v>
      </c>
      <c r="C7" s="4">
        <v>91</v>
      </c>
      <c r="D7" s="4">
        <v>83</v>
      </c>
      <c r="E7" s="4">
        <v>112</v>
      </c>
      <c r="F7" s="4">
        <v>17</v>
      </c>
      <c r="G7" s="4">
        <v>71</v>
      </c>
      <c r="H7" s="4">
        <v>60</v>
      </c>
      <c r="I7" s="4">
        <v>66</v>
      </c>
      <c r="J7" s="4">
        <v>42</v>
      </c>
      <c r="K7" s="4">
        <v>52</v>
      </c>
      <c r="L7" s="4">
        <v>83</v>
      </c>
      <c r="M7" s="4">
        <v>70</v>
      </c>
      <c r="N7" s="4">
        <v>54</v>
      </c>
      <c r="O7" s="4">
        <v>72</v>
      </c>
      <c r="P7" s="8">
        <f t="shared" si="0"/>
        <v>67.142857142857139</v>
      </c>
    </row>
    <row r="8" spans="1:16">
      <c r="A8" s="3" t="s">
        <v>21</v>
      </c>
      <c r="B8" s="4">
        <v>57</v>
      </c>
      <c r="C8" s="4">
        <v>89</v>
      </c>
      <c r="D8" s="4">
        <v>103</v>
      </c>
      <c r="E8" s="4">
        <v>107</v>
      </c>
      <c r="F8" s="4">
        <v>17</v>
      </c>
      <c r="G8" s="4">
        <v>56</v>
      </c>
      <c r="H8" s="4">
        <v>42</v>
      </c>
      <c r="I8" s="4">
        <v>52</v>
      </c>
      <c r="J8" s="4">
        <v>23</v>
      </c>
      <c r="K8" s="4">
        <v>41</v>
      </c>
      <c r="L8" s="4">
        <v>84</v>
      </c>
      <c r="M8" s="4">
        <v>66</v>
      </c>
      <c r="N8" s="4">
        <v>59</v>
      </c>
      <c r="O8" s="4">
        <v>51</v>
      </c>
      <c r="P8" s="8">
        <f t="shared" si="0"/>
        <v>60.5</v>
      </c>
    </row>
    <row r="9" spans="1:16">
      <c r="A9" s="3" t="s">
        <v>22</v>
      </c>
      <c r="B9" s="4">
        <v>62</v>
      </c>
      <c r="C9" s="4">
        <v>87</v>
      </c>
      <c r="D9" s="4">
        <v>109</v>
      </c>
      <c r="E9" s="4">
        <v>95</v>
      </c>
      <c r="F9" s="4">
        <v>17</v>
      </c>
      <c r="G9" s="4">
        <v>66</v>
      </c>
      <c r="H9" s="4">
        <v>44</v>
      </c>
      <c r="I9" s="4">
        <v>60</v>
      </c>
      <c r="J9" s="4">
        <v>48</v>
      </c>
      <c r="K9" s="4">
        <v>37</v>
      </c>
      <c r="L9" s="4">
        <v>81</v>
      </c>
      <c r="M9" s="4">
        <v>59</v>
      </c>
      <c r="N9" s="4">
        <v>64</v>
      </c>
      <c r="O9" s="4">
        <v>46</v>
      </c>
      <c r="P9" s="8">
        <f t="shared" si="0"/>
        <v>62.5</v>
      </c>
    </row>
    <row r="10" spans="1:16">
      <c r="A10" s="3" t="s">
        <v>23</v>
      </c>
      <c r="B10" s="4">
        <v>68</v>
      </c>
      <c r="C10" s="4">
        <v>93</v>
      </c>
      <c r="D10" s="4">
        <v>94</v>
      </c>
      <c r="E10" s="4">
        <v>126</v>
      </c>
      <c r="F10" s="4">
        <v>21</v>
      </c>
      <c r="G10" s="4">
        <v>83</v>
      </c>
      <c r="H10" s="4">
        <v>65</v>
      </c>
      <c r="I10" s="4">
        <v>66</v>
      </c>
      <c r="J10" s="4">
        <v>38</v>
      </c>
      <c r="K10" s="4">
        <v>63</v>
      </c>
      <c r="L10" s="4">
        <v>89</v>
      </c>
      <c r="M10" s="4">
        <v>66</v>
      </c>
      <c r="N10" s="4">
        <v>59</v>
      </c>
      <c r="O10" s="4">
        <v>66</v>
      </c>
      <c r="P10" s="8">
        <f t="shared" si="0"/>
        <v>71.214285714285708</v>
      </c>
    </row>
    <row r="11" spans="1:16">
      <c r="A11" s="3" t="s">
        <v>24</v>
      </c>
      <c r="B11" s="4">
        <v>61</v>
      </c>
      <c r="C11" s="4">
        <v>96</v>
      </c>
      <c r="D11" s="4">
        <v>104</v>
      </c>
      <c r="E11" s="4">
        <v>133</v>
      </c>
      <c r="F11" s="4">
        <v>13</v>
      </c>
      <c r="G11" s="4">
        <v>79</v>
      </c>
      <c r="H11" s="4">
        <v>80</v>
      </c>
      <c r="I11" s="4">
        <v>47</v>
      </c>
      <c r="J11" s="4">
        <v>24</v>
      </c>
      <c r="K11" s="4">
        <v>49</v>
      </c>
      <c r="L11" s="4">
        <v>70</v>
      </c>
      <c r="M11" s="4">
        <v>65</v>
      </c>
      <c r="N11" s="4">
        <v>68</v>
      </c>
      <c r="O11" s="4">
        <v>57</v>
      </c>
      <c r="P11" s="8">
        <f t="shared" si="0"/>
        <v>67.571428571428569</v>
      </c>
    </row>
    <row r="12" spans="1:16">
      <c r="A12" s="3" t="s">
        <v>25</v>
      </c>
      <c r="B12" s="4">
        <v>54</v>
      </c>
      <c r="C12" s="4">
        <v>103</v>
      </c>
      <c r="D12" s="4">
        <v>88</v>
      </c>
      <c r="E12" s="4">
        <v>105</v>
      </c>
      <c r="F12" s="4">
        <v>22</v>
      </c>
      <c r="G12" s="4">
        <v>66</v>
      </c>
      <c r="H12" s="4">
        <v>37</v>
      </c>
      <c r="I12" s="4">
        <v>63</v>
      </c>
      <c r="J12" s="4">
        <v>26</v>
      </c>
      <c r="K12" s="4">
        <v>52</v>
      </c>
      <c r="L12" s="4">
        <v>66</v>
      </c>
      <c r="M12" s="4">
        <v>55</v>
      </c>
      <c r="N12" s="4">
        <v>51</v>
      </c>
      <c r="O12" s="4">
        <v>69</v>
      </c>
      <c r="P12" s="8">
        <f t="shared" si="0"/>
        <v>61.214285714285715</v>
      </c>
    </row>
    <row r="13" spans="1:16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/>
    <row r="15" spans="1:16"/>
    <row r="16" spans="1:16"/>
    <row r="17"/>
  </sheetData>
  <pageMargins left="0.75" right="0.75" top="1" bottom="1" header="0.5" footer="0.5"/>
  <pageSetup orientation="portrait" horizontalDpi="4294967292" verticalDpi="429496729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A2A75CAE4235498F8F76B32C3FC766" ma:contentTypeVersion="16" ma:contentTypeDescription="Crear nuevo documento." ma:contentTypeScope="" ma:versionID="b581c1262ac366a65f68a439db57d179">
  <xsd:schema xmlns:xsd="http://www.w3.org/2001/XMLSchema" xmlns:xs="http://www.w3.org/2001/XMLSchema" xmlns:p="http://schemas.microsoft.com/office/2006/metadata/properties" xmlns:ns2="e7428bdf-7c0e-4d1e-bb87-807d1443c0af" xmlns:ns3="64a76b1f-98dc-4908-b802-3054b7bf47b6" targetNamespace="http://schemas.microsoft.com/office/2006/metadata/properties" ma:root="true" ma:fieldsID="e6f38e6507a50a9766f6a896e9aecc73" ns2:_="" ns3:_="">
    <xsd:import namespace="e7428bdf-7c0e-4d1e-bb87-807d1443c0af"/>
    <xsd:import namespace="64a76b1f-98dc-4908-b802-3054b7bf47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28bdf-7c0e-4d1e-bb87-807d1443c0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ed6dc89-ad87-4c12-b0b4-e80ac83b862f}" ma:internalName="TaxCatchAll" ma:showField="CatchAllData" ma:web="e7428bdf-7c0e-4d1e-bb87-807d1443c0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76b1f-98dc-4908-b802-3054b7bf4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d3189d43-8d75-486d-bc0b-4d04dee2c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1AF976-9039-4848-9839-94765316C130}"/>
</file>

<file path=customXml/itemProps2.xml><?xml version="1.0" encoding="utf-8"?>
<ds:datastoreItem xmlns:ds="http://schemas.openxmlformats.org/officeDocument/2006/customXml" ds:itemID="{2A133AE2-52EA-4514-8DFB-B40208ADFE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 Knaflic</dc:creator>
  <cp:keywords/>
  <dc:description/>
  <cp:lastModifiedBy>Angel Berian González</cp:lastModifiedBy>
  <cp:revision/>
  <dcterms:created xsi:type="dcterms:W3CDTF">2019-01-28T21:05:54Z</dcterms:created>
  <dcterms:modified xsi:type="dcterms:W3CDTF">2023-03-19T15:58:15Z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3fce31-2f8d-4ac6-bf55-de69720a14e7_Enabled">
    <vt:lpwstr>true</vt:lpwstr>
  </property>
  <property fmtid="{D5CDD505-2E9C-101B-9397-08002B2CF9AE}" pid="3" name="MSIP_Label_803fce31-2f8d-4ac6-bf55-de69720a14e7_SetDate">
    <vt:lpwstr>2023-03-19T15:49:39Z</vt:lpwstr>
  </property>
  <property fmtid="{D5CDD505-2E9C-101B-9397-08002B2CF9AE}" pid="4" name="MSIP_Label_803fce31-2f8d-4ac6-bf55-de69720a14e7_Method">
    <vt:lpwstr>Standard</vt:lpwstr>
  </property>
  <property fmtid="{D5CDD505-2E9C-101B-9397-08002B2CF9AE}" pid="5" name="MSIP_Label_803fce31-2f8d-4ac6-bf55-de69720a14e7_Name">
    <vt:lpwstr>defa4170-0d19-0005-0004-bc88714345d2</vt:lpwstr>
  </property>
  <property fmtid="{D5CDD505-2E9C-101B-9397-08002B2CF9AE}" pid="6" name="MSIP_Label_803fce31-2f8d-4ac6-bf55-de69720a14e7_SiteId">
    <vt:lpwstr>6e24b6e5-3049-4468-ae77-a308ba97331f</vt:lpwstr>
  </property>
  <property fmtid="{D5CDD505-2E9C-101B-9397-08002B2CF9AE}" pid="7" name="MSIP_Label_803fce31-2f8d-4ac6-bf55-de69720a14e7_ActionId">
    <vt:lpwstr>b5ef199d-554c-4bac-ae42-e75102af453f</vt:lpwstr>
  </property>
  <property fmtid="{D5CDD505-2E9C-101B-9397-08002B2CF9AE}" pid="8" name="MSIP_Label_803fce31-2f8d-4ac6-bf55-de69720a14e7_ContentBits">
    <vt:lpwstr>0</vt:lpwstr>
  </property>
</Properties>
</file>